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1"/>
  </bookViews>
  <sheets>
    <sheet name="上证测试集 原始数据" sheetId="4" r:id="rId1"/>
    <sheet name="黄金测试集 原始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<sst xmlns="http://schemas.openxmlformats.org/spreadsheetml/2006/main" count="8" uniqueCount="4">
  <si>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Actual</t>
  </si>
  <si>
    <t>Fitted</t>
  </si>
  <si>
    <t>Difference</t>
  </si>
  <si>
    <t>Difference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</si>
</sst>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.00_);[Red]\(0.00\)"/>
    <numFmt numFmtId="178" formatCode="0.00_ "/>
    <numFmt numFmtId="179" formatCode="yyyy\-mm\-dd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43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3" fillId="0" borderId="0" xfId="0" applyFont="1" applyFill="1" applyAlignment="1"/>
    <xf numFmtId="179" fontId="2" fillId="0" borderId="0" xfId="0" applyNumberFormat="1" applyFont="1" applyAlignment="1"/>
    <xf numFmtId="178" fontId="2" fillId="0" borderId="0" xfId="0" applyNumberFormat="1" applyFont="1" applyAlignment="1"/>
    <xf numFmtId="4" fontId="2" fillId="0" borderId="0" xfId="0" applyNumberFormat="1" applyFont="1" applyAlignment="1"/>
    <xf numFmtId="4" fontId="4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'上证测试集 原始数据'!$B$1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'上证测试集 原始数据'!$A$2:$A$28</c:f>
              <c:numCache>
                <c:formatCode>yyyy\-mm\-dd</c:formatCode>
                <c:ptCount val="27"/>
                <c:pt idx="0" c:formatCode="yyyy\-mm\-dd">
                  <c:v>45734</c:v>
                </c:pt>
                <c:pt idx="1" c:formatCode="yyyy\-mm\-dd">
                  <c:v>45735</c:v>
                </c:pt>
                <c:pt idx="2" c:formatCode="yyyy\-mm\-dd">
                  <c:v>45736</c:v>
                </c:pt>
                <c:pt idx="3" c:formatCode="yyyy\-mm\-dd">
                  <c:v>45737</c:v>
                </c:pt>
                <c:pt idx="4" c:formatCode="yyyy\-mm\-dd">
                  <c:v>45740</c:v>
                </c:pt>
                <c:pt idx="5" c:formatCode="yyyy\-mm\-dd">
                  <c:v>45741</c:v>
                </c:pt>
                <c:pt idx="6" c:formatCode="yyyy\-mm\-dd">
                  <c:v>45742</c:v>
                </c:pt>
                <c:pt idx="7" c:formatCode="yyyy\-mm\-dd">
                  <c:v>45743</c:v>
                </c:pt>
                <c:pt idx="8" c:formatCode="yyyy\-mm\-dd">
                  <c:v>45744</c:v>
                </c:pt>
                <c:pt idx="9" c:formatCode="yyyy\-mm\-dd">
                  <c:v>45747</c:v>
                </c:pt>
                <c:pt idx="10" c:formatCode="yyyy\-mm\-dd">
                  <c:v>45748</c:v>
                </c:pt>
                <c:pt idx="11" c:formatCode="yyyy\-mm\-dd">
                  <c:v>45749</c:v>
                </c:pt>
                <c:pt idx="12" c:formatCode="yyyy\-mm\-dd">
                  <c:v>45750</c:v>
                </c:pt>
                <c:pt idx="13" c:formatCode="yyyy\-mm\-dd">
                  <c:v>45754</c:v>
                </c:pt>
                <c:pt idx="14" c:formatCode="yyyy\-mm\-dd">
                  <c:v>45755</c:v>
                </c:pt>
                <c:pt idx="15" c:formatCode="yyyy\-mm\-dd">
                  <c:v>45756</c:v>
                </c:pt>
                <c:pt idx="16" c:formatCode="yyyy\-mm\-dd">
                  <c:v>45757</c:v>
                </c:pt>
                <c:pt idx="17" c:formatCode="yyyy\-mm\-dd">
                  <c:v>45758</c:v>
                </c:pt>
                <c:pt idx="18" c:formatCode="yyyy\-mm\-dd">
                  <c:v>45761</c:v>
                </c:pt>
                <c:pt idx="19" c:formatCode="yyyy\-mm\-dd">
                  <c:v>45762</c:v>
                </c:pt>
                <c:pt idx="20" c:formatCode="yyyy\-mm\-dd">
                  <c:v>45763</c:v>
                </c:pt>
                <c:pt idx="21" c:formatCode="yyyy\-mm\-dd">
                  <c:v>45764</c:v>
                </c:pt>
                <c:pt idx="22" c:formatCode="yyyy\-mm\-dd">
                  <c:v>45765</c:v>
                </c:pt>
                <c:pt idx="23" c:formatCode="yyyy\-mm\-dd">
                  <c:v>45768</c:v>
                </c:pt>
                <c:pt idx="24" c:formatCode="yyyy\-mm\-dd">
                  <c:v>45769</c:v>
                </c:pt>
                <c:pt idx="25" c:formatCode="yyyy\-mm\-dd">
                  <c:v>45770</c:v>
                </c:pt>
                <c:pt idx="26" c:formatCode="yyyy\-mm\-dd">
                  <c:v>45771</c:v>
                </c:pt>
              </c:numCache>
            </c:numRef>
          </c:cat>
          <c:val>
            <c:numRef>
              <c:f>'上证测试集 原始数据'!$B$2:$B$28</c:f>
              <c:numCache>
                <c:formatCode>0.00_ </c:formatCode>
                <c:ptCount val="27"/>
                <c:pt idx="0">
                  <c:v>3429.76</c:v>
                </c:pt>
                <c:pt idx="1">
                  <c:v>3426.43</c:v>
                </c:pt>
                <c:pt idx="2">
                  <c:v>3408.95</c:v>
                </c:pt>
                <c:pt idx="3">
                  <c:v>3364.83</c:v>
                </c:pt>
                <c:pt idx="4">
                  <c:v>3370.03</c:v>
                </c:pt>
                <c:pt idx="5">
                  <c:v>3369.98</c:v>
                </c:pt>
                <c:pt idx="6">
                  <c:v>3368.7</c:v>
                </c:pt>
                <c:pt idx="7">
                  <c:v>3373.75</c:v>
                </c:pt>
                <c:pt idx="8">
                  <c:v>3351.31</c:v>
                </c:pt>
                <c:pt idx="9">
                  <c:v>3335.75</c:v>
                </c:pt>
                <c:pt idx="10">
                  <c:v>3348.44</c:v>
                </c:pt>
                <c:pt idx="11">
                  <c:v>3350.13</c:v>
                </c:pt>
                <c:pt idx="12">
                  <c:v>3342.01</c:v>
                </c:pt>
                <c:pt idx="13" c:formatCode="#,##0.00">
                  <c:v>3096.58</c:v>
                </c:pt>
                <c:pt idx="14" c:formatCode="#,##0.00">
                  <c:v>3145.55</c:v>
                </c:pt>
                <c:pt idx="15" c:formatCode="#,##0.00">
                  <c:v>3186.81</c:v>
                </c:pt>
                <c:pt idx="16" c:formatCode="#,##0.00">
                  <c:v>3223.64</c:v>
                </c:pt>
                <c:pt idx="17" c:formatCode="#,##0.00">
                  <c:v>3238.23</c:v>
                </c:pt>
                <c:pt idx="18" c:formatCode="#,##0.00">
                  <c:v>3262.81</c:v>
                </c:pt>
                <c:pt idx="19" c:formatCode="#,##0.00">
                  <c:v>3267.66</c:v>
                </c:pt>
                <c:pt idx="20" c:formatCode="#,##0.00">
                  <c:v>3276</c:v>
                </c:pt>
                <c:pt idx="21" c:formatCode="#,##0.00">
                  <c:v>3280.34</c:v>
                </c:pt>
                <c:pt idx="22" c:formatCode="#,##0.00">
                  <c:v>3276.73</c:v>
                </c:pt>
                <c:pt idx="23" c:formatCode="#,##0.00">
                  <c:v>3291.43</c:v>
                </c:pt>
                <c:pt idx="24" c:formatCode="#,##0.00">
                  <c:v>3299.76</c:v>
                </c:pt>
                <c:pt idx="25" c:formatCode="#,##0.00">
                  <c:v>3296.36</c:v>
                </c:pt>
                <c:pt idx="26" c:formatCode="#,##0.00">
                  <c:v>3297.29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'上证测试集 原始数据'!$C$1</c:f>
              <c:strCache>
                <c:ptCount val="1"/>
                <c:pt idx="0">
                  <c:v>Fitted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'上证测试集 原始数据'!$A$2:$A$28</c:f>
              <c:numCache>
                <c:formatCode>yyyy\-mm\-dd</c:formatCode>
                <c:ptCount val="27"/>
                <c:pt idx="0" c:formatCode="yyyy\-mm\-dd">
                  <c:v>45734</c:v>
                </c:pt>
                <c:pt idx="1" c:formatCode="yyyy\-mm\-dd">
                  <c:v>45735</c:v>
                </c:pt>
                <c:pt idx="2" c:formatCode="yyyy\-mm\-dd">
                  <c:v>45736</c:v>
                </c:pt>
                <c:pt idx="3" c:formatCode="yyyy\-mm\-dd">
                  <c:v>45737</c:v>
                </c:pt>
                <c:pt idx="4" c:formatCode="yyyy\-mm\-dd">
                  <c:v>45740</c:v>
                </c:pt>
                <c:pt idx="5" c:formatCode="yyyy\-mm\-dd">
                  <c:v>45741</c:v>
                </c:pt>
                <c:pt idx="6" c:formatCode="yyyy\-mm\-dd">
                  <c:v>45742</c:v>
                </c:pt>
                <c:pt idx="7" c:formatCode="yyyy\-mm\-dd">
                  <c:v>45743</c:v>
                </c:pt>
                <c:pt idx="8" c:formatCode="yyyy\-mm\-dd">
                  <c:v>45744</c:v>
                </c:pt>
                <c:pt idx="9" c:formatCode="yyyy\-mm\-dd">
                  <c:v>45747</c:v>
                </c:pt>
                <c:pt idx="10" c:formatCode="yyyy\-mm\-dd">
                  <c:v>45748</c:v>
                </c:pt>
                <c:pt idx="11" c:formatCode="yyyy\-mm\-dd">
                  <c:v>45749</c:v>
                </c:pt>
                <c:pt idx="12" c:formatCode="yyyy\-mm\-dd">
                  <c:v>45750</c:v>
                </c:pt>
                <c:pt idx="13" c:formatCode="yyyy\-mm\-dd">
                  <c:v>45754</c:v>
                </c:pt>
                <c:pt idx="14" c:formatCode="yyyy\-mm\-dd">
                  <c:v>45755</c:v>
                </c:pt>
                <c:pt idx="15" c:formatCode="yyyy\-mm\-dd">
                  <c:v>45756</c:v>
                </c:pt>
                <c:pt idx="16" c:formatCode="yyyy\-mm\-dd">
                  <c:v>45757</c:v>
                </c:pt>
                <c:pt idx="17" c:formatCode="yyyy\-mm\-dd">
                  <c:v>45758</c:v>
                </c:pt>
                <c:pt idx="18" c:formatCode="yyyy\-mm\-dd">
                  <c:v>45761</c:v>
                </c:pt>
                <c:pt idx="19" c:formatCode="yyyy\-mm\-dd">
                  <c:v>45762</c:v>
                </c:pt>
                <c:pt idx="20" c:formatCode="yyyy\-mm\-dd">
                  <c:v>45763</c:v>
                </c:pt>
                <c:pt idx="21" c:formatCode="yyyy\-mm\-dd">
                  <c:v>45764</c:v>
                </c:pt>
                <c:pt idx="22" c:formatCode="yyyy\-mm\-dd">
                  <c:v>45765</c:v>
                </c:pt>
                <c:pt idx="23" c:formatCode="yyyy\-mm\-dd">
                  <c:v>45768</c:v>
                </c:pt>
                <c:pt idx="24" c:formatCode="yyyy\-mm\-dd">
                  <c:v>45769</c:v>
                </c:pt>
                <c:pt idx="25" c:formatCode="yyyy\-mm\-dd">
                  <c:v>45770</c:v>
                </c:pt>
                <c:pt idx="26" c:formatCode="yyyy\-mm\-dd">
                  <c:v>45771</c:v>
                </c:pt>
              </c:numCache>
            </c:numRef>
          </c:cat>
          <c:val>
            <c:numRef>
              <c:f>'上证测试集 原始数据'!$C$2:$C$28</c:f>
              <c:numCache>
                <c:formatCode>0.00_ </c:formatCode>
                <c:ptCount val="27"/>
                <c:pt idx="11" c:formatCode="#,##0.00">
                  <c:v>3356.55833312535</c:v>
                </c:pt>
                <c:pt idx="12" c:formatCode="#,##0.00">
                  <c:v>3350.51205907172</c:v>
                </c:pt>
                <c:pt idx="13" c:formatCode="#,##0.00">
                  <c:v>3348.61786091657</c:v>
                </c:pt>
                <c:pt idx="14" c:formatCode="#,##0.00">
                  <c:v>3354.42191744402</c:v>
                </c:pt>
                <c:pt idx="15" c:formatCode="#,##0.00">
                  <c:v>3355.99130166181</c:v>
                </c:pt>
                <c:pt idx="16" c:formatCode="#,##0.00">
                  <c:v>3354.77407426836</c:v>
                </c:pt>
                <c:pt idx="17" c:formatCode="#,##0.00">
                  <c:v>3352.34330291798</c:v>
                </c:pt>
                <c:pt idx="18" c:formatCode="#,##0.00">
                  <c:v>3353.08397555497</c:v>
                </c:pt>
                <c:pt idx="19" c:formatCode="#,##0.00">
                  <c:v>3358.285994396</c:v>
                </c:pt>
                <c:pt idx="20" c:formatCode="#,##0.00">
                  <c:v>3356.5200453141</c:v>
                </c:pt>
                <c:pt idx="21" c:formatCode="#,##0.00">
                  <c:v>3353.9314780344</c:v>
                </c:pt>
                <c:pt idx="22" c:formatCode="#,##0.00">
                  <c:v>3353.29968615144</c:v>
                </c:pt>
                <c:pt idx="23" c:formatCode="#,##0.00">
                  <c:v>3356.63334323736</c:v>
                </c:pt>
                <c:pt idx="24" c:formatCode="#,##0.00">
                  <c:v>3356.03210093442</c:v>
                </c:pt>
                <c:pt idx="25" c:formatCode="#,##0.00">
                  <c:v>3349.93296162572</c:v>
                </c:pt>
                <c:pt idx="26" c:formatCode="#,##0.00">
                  <c:v>3351.80861660544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264709584"/>
        <c:axId val="1264710304"/>
      </c:lineChart>
      <c:dateAx>
        <c:axId val="12647095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</a:p>
        </c:txPr>
        <c:crossAx val="1264710304"/>
        <c:crosses val="autoZero"/>
        <c:auto val="1"/>
        <c:lblOffset val="100"/>
        <c:baseTimeUnit val="days"/>
      </c:dateAx>
      <c:valAx>
        <c:axId val="1264710304"/>
        <c:scaling>
          <c:orientation val="minMax"/>
          <c:min val="3050"/>
        </c:scaling>
        <c:delete val="0"/>
        <c:axPos val="l"/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</a:p>
        </c:txPr>
        <c:crossAx val="126470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13c200-04d9-464b-8026-bfdcfb85dc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Garamond" panose="02020404030301010803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'黄金测试集 原始数据'!$B$1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'黄金测试集 原始数据'!$A$2:$A$25</c:f>
              <c:numCache>
                <c:formatCode>yyyy\-mm\-dd;@</c:formatCode>
                <c:ptCount val="24"/>
                <c:pt idx="0" c:formatCode="yyyy\-mm\-dd;@">
                  <c:v>45736</c:v>
                </c:pt>
                <c:pt idx="1" c:formatCode="yyyy\-mm\-dd;@">
                  <c:v>45737</c:v>
                </c:pt>
                <c:pt idx="2" c:formatCode="yyyy\-mm\-dd;@">
                  <c:v>45740</c:v>
                </c:pt>
                <c:pt idx="3" c:formatCode="yyyy\-mm\-dd;@">
                  <c:v>45741</c:v>
                </c:pt>
                <c:pt idx="4" c:formatCode="yyyy\-mm\-dd;@">
                  <c:v>45742</c:v>
                </c:pt>
                <c:pt idx="5" c:formatCode="yyyy\-mm\-dd;@">
                  <c:v>45743</c:v>
                </c:pt>
                <c:pt idx="6" c:formatCode="yyyy\-mm\-dd;@">
                  <c:v>45744</c:v>
                </c:pt>
                <c:pt idx="7" c:formatCode="yyyy\-mm\-dd;@">
                  <c:v>45747</c:v>
                </c:pt>
                <c:pt idx="8" c:formatCode="yyyy\-mm\-dd;@">
                  <c:v>45748</c:v>
                </c:pt>
                <c:pt idx="9" c:formatCode="yyyy\-mm\-dd;@">
                  <c:v>45749</c:v>
                </c:pt>
                <c:pt idx="10" c:formatCode="yyyy\-mm\-dd;@">
                  <c:v>45750</c:v>
                </c:pt>
                <c:pt idx="11" c:formatCode="yyyy\-mm\-dd;@">
                  <c:v>45751</c:v>
                </c:pt>
                <c:pt idx="12" c:formatCode="yyyy\-mm\-dd;@">
                  <c:v>45754</c:v>
                </c:pt>
                <c:pt idx="13" c:formatCode="yyyy\-mm\-dd;@">
                  <c:v>45755</c:v>
                </c:pt>
                <c:pt idx="14" c:formatCode="yyyy\-mm\-dd;@">
                  <c:v>45756</c:v>
                </c:pt>
                <c:pt idx="15" c:formatCode="yyyy\-mm\-dd;@">
                  <c:v>45757</c:v>
                </c:pt>
                <c:pt idx="16" c:formatCode="yyyy\-mm\-dd;@">
                  <c:v>45758</c:v>
                </c:pt>
                <c:pt idx="17" c:formatCode="yyyy\-mm\-dd;@">
                  <c:v>45761</c:v>
                </c:pt>
                <c:pt idx="18" c:formatCode="yyyy\-mm\-dd;@">
                  <c:v>45762</c:v>
                </c:pt>
                <c:pt idx="19" c:formatCode="yyyy\-mm\-dd;@">
                  <c:v>45763</c:v>
                </c:pt>
                <c:pt idx="20" c:formatCode="yyyy\-mm\-dd;@">
                  <c:v>45764</c:v>
                </c:pt>
                <c:pt idx="21" c:formatCode="yyyy\-mm\-dd;@">
                  <c:v>45769</c:v>
                </c:pt>
                <c:pt idx="22" c:formatCode="yyyy\-mm\-dd;@">
                  <c:v>45770</c:v>
                </c:pt>
                <c:pt idx="23" c:formatCode="yyyy\-mm\-dd;@">
                  <c:v>45771</c:v>
                </c:pt>
              </c:numCache>
            </c:numRef>
          </c:cat>
          <c:val>
            <c:numRef>
              <c:f>'黄金测试集 原始数据'!$B$2:$B$25</c:f>
              <c:numCache>
                <c:formatCode>_ * #,##0.00_ ;_ * \-#,##0.00_ ;_ * "-"??_ ;_ @_ </c:formatCode>
                <c:ptCount val="24"/>
                <c:pt idx="0">
                  <c:v>3038.15</c:v>
                </c:pt>
                <c:pt idx="1">
                  <c:v>3013.7</c:v>
                </c:pt>
                <c:pt idx="2">
                  <c:v>3007.75</c:v>
                </c:pt>
                <c:pt idx="3">
                  <c:v>3025.2</c:v>
                </c:pt>
                <c:pt idx="4">
                  <c:v>3013.25</c:v>
                </c:pt>
                <c:pt idx="5">
                  <c:v>3056.55</c:v>
                </c:pt>
                <c:pt idx="6">
                  <c:v>3071.6</c:v>
                </c:pt>
                <c:pt idx="7">
                  <c:v>3115.1</c:v>
                </c:pt>
                <c:pt idx="8">
                  <c:v>3133.7</c:v>
                </c:pt>
                <c:pt idx="9">
                  <c:v>3119.75</c:v>
                </c:pt>
                <c:pt idx="10">
                  <c:v>3118.1</c:v>
                </c:pt>
                <c:pt idx="11">
                  <c:v>3054.5</c:v>
                </c:pt>
                <c:pt idx="12">
                  <c:v>3014.75</c:v>
                </c:pt>
                <c:pt idx="13">
                  <c:v>3015.4</c:v>
                </c:pt>
                <c:pt idx="14">
                  <c:v>3075.5</c:v>
                </c:pt>
                <c:pt idx="15">
                  <c:v>3143.15</c:v>
                </c:pt>
                <c:pt idx="16">
                  <c:v>3230.5</c:v>
                </c:pt>
                <c:pt idx="17">
                  <c:v>3204.2</c:v>
                </c:pt>
                <c:pt idx="18">
                  <c:v>3219.6</c:v>
                </c:pt>
                <c:pt idx="19">
                  <c:v>3322.9</c:v>
                </c:pt>
                <c:pt idx="20">
                  <c:v>3305.65</c:v>
                </c:pt>
                <c:pt idx="21">
                  <c:v>3433.55</c:v>
                </c:pt>
                <c:pt idx="22">
                  <c:v>3262.95</c:v>
                </c:pt>
                <c:pt idx="23">
                  <c:v>3314.75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'黄金测试集 原始数据'!$C$1</c:f>
              <c:strCache>
                <c:ptCount val="1"/>
                <c:pt idx="0">
                  <c:v>Fitted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'黄金测试集 原始数据'!$A$2:$A$25</c:f>
              <c:numCache>
                <c:formatCode>yyyy\-mm\-dd;@</c:formatCode>
                <c:ptCount val="24"/>
                <c:pt idx="0" c:formatCode="yyyy\-mm\-dd;@">
                  <c:v>45736</c:v>
                </c:pt>
                <c:pt idx="1" c:formatCode="yyyy\-mm\-dd;@">
                  <c:v>45737</c:v>
                </c:pt>
                <c:pt idx="2" c:formatCode="yyyy\-mm\-dd;@">
                  <c:v>45740</c:v>
                </c:pt>
                <c:pt idx="3" c:formatCode="yyyy\-mm\-dd;@">
                  <c:v>45741</c:v>
                </c:pt>
                <c:pt idx="4" c:formatCode="yyyy\-mm\-dd;@">
                  <c:v>45742</c:v>
                </c:pt>
                <c:pt idx="5" c:formatCode="yyyy\-mm\-dd;@">
                  <c:v>45743</c:v>
                </c:pt>
                <c:pt idx="6" c:formatCode="yyyy\-mm\-dd;@">
                  <c:v>45744</c:v>
                </c:pt>
                <c:pt idx="7" c:formatCode="yyyy\-mm\-dd;@">
                  <c:v>45747</c:v>
                </c:pt>
                <c:pt idx="8" c:formatCode="yyyy\-mm\-dd;@">
                  <c:v>45748</c:v>
                </c:pt>
                <c:pt idx="9" c:formatCode="yyyy\-mm\-dd;@">
                  <c:v>45749</c:v>
                </c:pt>
                <c:pt idx="10" c:formatCode="yyyy\-mm\-dd;@">
                  <c:v>45750</c:v>
                </c:pt>
                <c:pt idx="11" c:formatCode="yyyy\-mm\-dd;@">
                  <c:v>45751</c:v>
                </c:pt>
                <c:pt idx="12" c:formatCode="yyyy\-mm\-dd;@">
                  <c:v>45754</c:v>
                </c:pt>
                <c:pt idx="13" c:formatCode="yyyy\-mm\-dd;@">
                  <c:v>45755</c:v>
                </c:pt>
                <c:pt idx="14" c:formatCode="yyyy\-mm\-dd;@">
                  <c:v>45756</c:v>
                </c:pt>
                <c:pt idx="15" c:formatCode="yyyy\-mm\-dd;@">
                  <c:v>45757</c:v>
                </c:pt>
                <c:pt idx="16" c:formatCode="yyyy\-mm\-dd;@">
                  <c:v>45758</c:v>
                </c:pt>
                <c:pt idx="17" c:formatCode="yyyy\-mm\-dd;@">
                  <c:v>45761</c:v>
                </c:pt>
                <c:pt idx="18" c:formatCode="yyyy\-mm\-dd;@">
                  <c:v>45762</c:v>
                </c:pt>
                <c:pt idx="19" c:formatCode="yyyy\-mm\-dd;@">
                  <c:v>45763</c:v>
                </c:pt>
                <c:pt idx="20" c:formatCode="yyyy\-mm\-dd;@">
                  <c:v>45764</c:v>
                </c:pt>
                <c:pt idx="21" c:formatCode="yyyy\-mm\-dd;@">
                  <c:v>45769</c:v>
                </c:pt>
                <c:pt idx="22" c:formatCode="yyyy\-mm\-dd;@">
                  <c:v>45770</c:v>
                </c:pt>
                <c:pt idx="23" c:formatCode="yyyy\-mm\-dd;@">
                  <c:v>45771</c:v>
                </c:pt>
              </c:numCache>
            </c:numRef>
          </c:cat>
          <c:val>
            <c:numRef>
              <c:f>'黄金测试集 原始数据'!$C$2:$C$25</c:f>
              <c:numCache>
                <c:formatCode>_ * #,##0.00_ ;_ * \-#,##0.00_ ;_ * "-"??_ ;_ @_ </c:formatCode>
                <c:ptCount val="24"/>
                <c:pt idx="9">
                  <c:v>3131.52234144638</c:v>
                </c:pt>
                <c:pt idx="10">
                  <c:v>3132.18312064351</c:v>
                </c:pt>
                <c:pt idx="11">
                  <c:v>3132.85826450191</c:v>
                </c:pt>
                <c:pt idx="12">
                  <c:v>3130.2889281348</c:v>
                </c:pt>
                <c:pt idx="13">
                  <c:v>3129.78515782976</c:v>
                </c:pt>
                <c:pt idx="14">
                  <c:v>3128.62150705725</c:v>
                </c:pt>
                <c:pt idx="15">
                  <c:v>3129.51554157326</c:v>
                </c:pt>
                <c:pt idx="16">
                  <c:v>3128.87494336403</c:v>
                </c:pt>
                <c:pt idx="17">
                  <c:v>3129.05244173367</c:v>
                </c:pt>
                <c:pt idx="18">
                  <c:v>3128.69199442409</c:v>
                </c:pt>
                <c:pt idx="19">
                  <c:v>3131.35025674148</c:v>
                </c:pt>
                <c:pt idx="20">
                  <c:v>3131.65557349487</c:v>
                </c:pt>
                <c:pt idx="21">
                  <c:v>3132.78205235535</c:v>
                </c:pt>
                <c:pt idx="22">
                  <c:v>3133.00258453364</c:v>
                </c:pt>
                <c:pt idx="23">
                  <c:v>3133.02376165348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006819392"/>
        <c:axId val="2006816152"/>
      </c:lineChart>
      <c:dateAx>
        <c:axId val="2006819392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</a:p>
        </c:txPr>
        <c:crossAx val="2006816152"/>
        <c:crosses val="autoZero"/>
        <c:auto val="1"/>
        <c:lblOffset val="100"/>
        <c:baseTimeUnit val="days"/>
      </c:dateAx>
      <c:valAx>
        <c:axId val="2006816152"/>
        <c:scaling>
          <c:orientation val="minMax"/>
          <c:min val="3000"/>
        </c:scaling>
        <c:delete val="0"/>
        <c:axPos val="l"/>
        <c:numFmt formatCode="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</a:p>
        </c:txPr>
        <c:crossAx val="20068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d177f9-ea74-4392-bd34-4dee5876880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Garamond" panose="02020404030301010803" pitchFamily="18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348154</xdr:colOff>
      <xdr:row>0</xdr:row>
      <xdr:rowOff>0</xdr:rowOff>
    </xdr:from>
    <xdr:to>
      <xdr:col>12</xdr:col>
      <xdr:colOff>137947</xdr:colOff>
      <xdr:row>16</xdr:row>
      <xdr:rowOff>115614</xdr:rowOff>
    </xdr:to>
    <xdr:graphicFrame>
      <xdr:nvGraphicFramePr>
        <xdr:cNvPr id="2" name="图表 1"/>
        <xdr:cNvGraphicFramePr/>
      </xdr:nvGraphicFramePr>
      <xdr:xfrm>
        <a:off x="3495675" y="0"/>
        <a:ext cx="4310380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0</xdr:rowOff>
    </xdr:from>
    <xdr:to>
      <xdr:col>12</xdr:col>
      <xdr:colOff>439616</xdr:colOff>
      <xdr:row>14</xdr:row>
      <xdr:rowOff>76200</xdr:rowOff>
    </xdr:to>
    <xdr:graphicFrame>
      <xdr:nvGraphicFramePr>
        <xdr:cNvPr id="3" name="图表 2"/>
        <xdr:cNvGraphicFramePr/>
      </xdr:nvGraphicFramePr>
      <xdr:xfrm>
        <a:off x="4063365" y="0"/>
        <a:ext cx="4314190" cy="2538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zoomScale="145" zoomScaleNormal="145" workbookViewId="0">
      <selection activeCell="E8" sqref="E8"/>
    </sheetView>
  </sheetViews>
  <sheetFormatPr defaultColWidth="9" defaultRowHeight="13.1" outlineLevelCol="4"/>
  <cols>
    <col min="1" max="1" width="10.2477876106195" style="5" customWidth="1"/>
    <col min="2" max="2" width="9" style="5"/>
    <col min="3" max="3" width="9" style="7"/>
    <col min="4" max="4" width="8.3716814159292" style="7" customWidth="1"/>
    <col min="5" max="5" width="7.24778761061947" style="5" customWidth="1"/>
    <col min="6" max="16384" width="9" style="5"/>
  </cols>
  <sheetData>
    <row r="1" spans="2:5">
      <c r="B1" s="5" t="s">
        <v>0</v>
      </c>
      <c r="C1" s="7" t="s">
        <v>1</v>
      </c>
      <c r="D1" s="7" t="s">
        <v>2</v>
      </c>
      <c r="E1" s="5" t="s">
        <v>3</v>
      </c>
    </row>
    <row r="2" spans="1:2">
      <c r="A2" s="11">
        <v>45734</v>
      </c>
      <c r="B2" s="12">
        <v>3429.76</v>
      </c>
    </row>
    <row r="3" spans="1:2">
      <c r="A3" s="11">
        <v>45735</v>
      </c>
      <c r="B3" s="12">
        <v>3426.43</v>
      </c>
    </row>
    <row r="4" spans="1:5">
      <c r="A4" s="11">
        <v>45736</v>
      </c>
      <c r="B4" s="12">
        <v>3408.95</v>
      </c>
      <c r="D4" s="12"/>
      <c r="E4" s="12"/>
    </row>
    <row r="5" spans="1:5">
      <c r="A5" s="11">
        <v>45737</v>
      </c>
      <c r="B5" s="12">
        <v>3364.83</v>
      </c>
      <c r="D5" s="12"/>
      <c r="E5" s="12"/>
    </row>
    <row r="6" spans="1:5">
      <c r="A6" s="11">
        <v>45740</v>
      </c>
      <c r="B6" s="12">
        <v>3370.03</v>
      </c>
      <c r="D6" s="12"/>
      <c r="E6" s="12"/>
    </row>
    <row r="7" spans="1:5">
      <c r="A7" s="11">
        <v>45741</v>
      </c>
      <c r="B7" s="12">
        <v>3369.98</v>
      </c>
      <c r="D7" s="12"/>
      <c r="E7" s="12"/>
    </row>
    <row r="8" spans="1:2">
      <c r="A8" s="11">
        <v>45742</v>
      </c>
      <c r="B8" s="12">
        <v>3368.7</v>
      </c>
    </row>
    <row r="9" spans="1:2">
      <c r="A9" s="11">
        <v>45743</v>
      </c>
      <c r="B9" s="12">
        <v>3373.75</v>
      </c>
    </row>
    <row r="10" spans="1:2">
      <c r="A10" s="11">
        <v>45744</v>
      </c>
      <c r="B10" s="12">
        <v>3351.31</v>
      </c>
    </row>
    <row r="11" spans="1:2">
      <c r="A11" s="11">
        <v>45747</v>
      </c>
      <c r="B11" s="12">
        <v>3335.75</v>
      </c>
    </row>
    <row r="12" spans="1:2">
      <c r="A12" s="11">
        <v>45748</v>
      </c>
      <c r="B12" s="12">
        <v>3348.44</v>
      </c>
    </row>
    <row r="13" spans="1:5">
      <c r="A13" s="11">
        <v>45749</v>
      </c>
      <c r="B13" s="12">
        <v>3350.13</v>
      </c>
      <c r="C13" s="13">
        <v>3356.55833312535</v>
      </c>
      <c r="D13" s="7">
        <f>B13-C13</f>
        <v>-6.42833312535186</v>
      </c>
      <c r="E13" s="9">
        <f>D13/B13</f>
        <v>-0.00191883094845629</v>
      </c>
    </row>
    <row r="14" spans="1:5">
      <c r="A14" s="11">
        <v>45750</v>
      </c>
      <c r="B14" s="12">
        <v>3342.01</v>
      </c>
      <c r="C14" s="13">
        <v>3350.51205907172</v>
      </c>
      <c r="D14" s="7">
        <f>B14-C14</f>
        <v>-8.50205907172358</v>
      </c>
      <c r="E14" s="9">
        <f>D14/B14</f>
        <v>-0.00254399570070813</v>
      </c>
    </row>
    <row r="15" spans="1:5">
      <c r="A15" s="11">
        <v>45754</v>
      </c>
      <c r="B15" s="13">
        <v>3096.58</v>
      </c>
      <c r="C15" s="13">
        <v>3348.61786091657</v>
      </c>
      <c r="D15" s="7">
        <f>B15-C15</f>
        <v>-252.037860916575</v>
      </c>
      <c r="E15" s="9">
        <f>D15/B15</f>
        <v>-0.0813923298983314</v>
      </c>
    </row>
    <row r="16" spans="1:5">
      <c r="A16" s="11">
        <v>45755</v>
      </c>
      <c r="B16" s="13">
        <v>3145.55</v>
      </c>
      <c r="C16" s="13">
        <v>3354.42191744402</v>
      </c>
      <c r="D16" s="7">
        <f t="shared" ref="D16:D28" si="0">B16-C16</f>
        <v>-208.871917444023</v>
      </c>
      <c r="E16" s="9">
        <f t="shared" ref="E16:E28" si="1">D16/B16</f>
        <v>-0.0664023517171951</v>
      </c>
    </row>
    <row r="17" spans="1:5">
      <c r="A17" s="11">
        <v>45756</v>
      </c>
      <c r="B17" s="13">
        <v>3186.81</v>
      </c>
      <c r="C17" s="13">
        <v>3355.99130166181</v>
      </c>
      <c r="D17" s="7">
        <f t="shared" si="0"/>
        <v>-169.181301661806</v>
      </c>
      <c r="E17" s="9">
        <f t="shared" si="1"/>
        <v>-0.0530879787818559</v>
      </c>
    </row>
    <row r="18" spans="1:5">
      <c r="A18" s="11">
        <v>45757</v>
      </c>
      <c r="B18" s="13">
        <v>3223.64</v>
      </c>
      <c r="C18" s="13">
        <v>3354.77407426836</v>
      </c>
      <c r="D18" s="7">
        <f t="shared" si="0"/>
        <v>-131.13407426836</v>
      </c>
      <c r="E18" s="9">
        <f t="shared" si="1"/>
        <v>-0.0406788829609882</v>
      </c>
    </row>
    <row r="19" spans="1:5">
      <c r="A19" s="11">
        <v>45758</v>
      </c>
      <c r="B19" s="13">
        <v>3238.23</v>
      </c>
      <c r="C19" s="13">
        <v>3352.34330291798</v>
      </c>
      <c r="D19" s="7">
        <f t="shared" si="0"/>
        <v>-114.113302917976</v>
      </c>
      <c r="E19" s="9">
        <f t="shared" si="1"/>
        <v>-0.0352394063787859</v>
      </c>
    </row>
    <row r="20" spans="1:5">
      <c r="A20" s="11">
        <v>45761</v>
      </c>
      <c r="B20" s="13">
        <v>3262.81</v>
      </c>
      <c r="C20" s="13">
        <v>3353.08397555497</v>
      </c>
      <c r="D20" s="7">
        <f t="shared" si="0"/>
        <v>-90.2739755549651</v>
      </c>
      <c r="E20" s="9">
        <f t="shared" si="1"/>
        <v>-0.027667555130383</v>
      </c>
    </row>
    <row r="21" spans="1:5">
      <c r="A21" s="11">
        <v>45762</v>
      </c>
      <c r="B21" s="13">
        <v>3267.66</v>
      </c>
      <c r="C21" s="13">
        <v>3358.285994396</v>
      </c>
      <c r="D21" s="7">
        <f t="shared" si="0"/>
        <v>-90.625994395999</v>
      </c>
      <c r="E21" s="9">
        <f t="shared" si="1"/>
        <v>-0.0277342178794608</v>
      </c>
    </row>
    <row r="22" spans="1:5">
      <c r="A22" s="11">
        <v>45763</v>
      </c>
      <c r="B22" s="13">
        <v>3276</v>
      </c>
      <c r="C22" s="13">
        <v>3356.5200453141</v>
      </c>
      <c r="D22" s="7">
        <f t="shared" si="0"/>
        <v>-80.5200453140951</v>
      </c>
      <c r="E22" s="9">
        <f t="shared" si="1"/>
        <v>-0.0245787684108959</v>
      </c>
    </row>
    <row r="23" spans="1:5">
      <c r="A23" s="11">
        <v>45764</v>
      </c>
      <c r="B23" s="13">
        <v>3280.34</v>
      </c>
      <c r="C23" s="13">
        <v>3353.9314780344</v>
      </c>
      <c r="D23" s="7">
        <f t="shared" si="0"/>
        <v>-73.591478034401</v>
      </c>
      <c r="E23" s="9">
        <f t="shared" si="1"/>
        <v>-0.0224341007439476</v>
      </c>
    </row>
    <row r="24" spans="1:5">
      <c r="A24" s="11">
        <v>45765</v>
      </c>
      <c r="B24" s="13">
        <v>3276.73</v>
      </c>
      <c r="C24" s="13">
        <v>3353.29968615144</v>
      </c>
      <c r="D24" s="7">
        <f t="shared" si="0"/>
        <v>-76.5696861514371</v>
      </c>
      <c r="E24" s="9">
        <f t="shared" si="1"/>
        <v>-0.0233677129795366</v>
      </c>
    </row>
    <row r="25" spans="1:5">
      <c r="A25" s="11">
        <v>45768</v>
      </c>
      <c r="B25" s="13">
        <v>3291.43</v>
      </c>
      <c r="C25" s="13">
        <v>3356.63334323736</v>
      </c>
      <c r="D25" s="7">
        <f t="shared" si="0"/>
        <v>-65.2033432373632</v>
      </c>
      <c r="E25" s="9">
        <f t="shared" si="1"/>
        <v>-0.0198100349201907</v>
      </c>
    </row>
    <row r="26" spans="1:5">
      <c r="A26" s="11">
        <v>45769</v>
      </c>
      <c r="B26" s="13">
        <v>3299.76</v>
      </c>
      <c r="C26" s="13">
        <v>3356.03210093442</v>
      </c>
      <c r="D26" s="7">
        <f t="shared" si="0"/>
        <v>-56.2721009344227</v>
      </c>
      <c r="E26" s="9">
        <f t="shared" si="1"/>
        <v>-0.0170533920450041</v>
      </c>
    </row>
    <row r="27" spans="1:5">
      <c r="A27" s="11">
        <v>45770</v>
      </c>
      <c r="B27" s="13">
        <v>3296.36</v>
      </c>
      <c r="C27" s="13">
        <v>3349.93296162572</v>
      </c>
      <c r="D27" s="7">
        <f t="shared" si="0"/>
        <v>-53.5729616257149</v>
      </c>
      <c r="E27" s="9">
        <f t="shared" si="1"/>
        <v>-0.0162521574177926</v>
      </c>
    </row>
    <row r="28" spans="1:5">
      <c r="A28" s="11">
        <v>45771</v>
      </c>
      <c r="B28" s="13">
        <v>3297.29</v>
      </c>
      <c r="C28" s="13">
        <v>3351.80861660544</v>
      </c>
      <c r="D28" s="7">
        <f t="shared" si="0"/>
        <v>-54.5186166054418</v>
      </c>
      <c r="E28" s="9">
        <f t="shared" si="1"/>
        <v>-0.0165343711367341</v>
      </c>
    </row>
    <row r="29" ht="13.5" spans="1:3">
      <c r="A29" s="11"/>
      <c r="B29" s="14"/>
      <c r="C29" s="10"/>
    </row>
    <row r="30" ht="13.5" spans="2:3">
      <c r="B30" s="14"/>
      <c r="C30" s="10"/>
    </row>
    <row r="31" ht="13.5" spans="2:3">
      <c r="B31" s="14"/>
      <c r="C31" s="10"/>
    </row>
    <row r="32" ht="13.5" spans="3:3">
      <c r="C32" s="10"/>
    </row>
    <row r="33" ht="13.5" spans="3:3">
      <c r="C33" s="10"/>
    </row>
    <row r="34" ht="13.5" spans="3:3">
      <c r="C34" s="10"/>
    </row>
    <row r="35" ht="13.5" spans="3:3">
      <c r="C35" s="10"/>
    </row>
    <row r="36" ht="13.5" spans="3:3">
      <c r="C36" s="10"/>
    </row>
    <row r="37" ht="13.5" spans="3:3">
      <c r="C37" s="10"/>
    </row>
    <row r="38" ht="13.5" spans="3:3">
      <c r="C38" s="10"/>
    </row>
    <row r="39" ht="13.5" spans="3:3">
      <c r="C39" s="10"/>
    </row>
    <row r="40" ht="13.5" spans="3:3">
      <c r="C40" s="10"/>
    </row>
    <row r="41" ht="13.5" spans="3:3">
      <c r="C41" s="10"/>
    </row>
    <row r="42" ht="13.5" spans="3:3">
      <c r="C42" s="10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zoomScale="130" zoomScaleNormal="130" topLeftCell="A3" workbookViewId="0">
      <selection activeCell="A11" sqref="A11:E25"/>
    </sheetView>
  </sheetViews>
  <sheetFormatPr defaultColWidth="9" defaultRowHeight="13.85" outlineLevelCol="4"/>
  <cols>
    <col min="1" max="1" width="11.6283185840708" style="1" customWidth="1"/>
    <col min="2" max="2" width="9" style="2"/>
    <col min="3" max="3" width="9" style="3"/>
    <col min="4" max="16384" width="9" style="2"/>
  </cols>
  <sheetData>
    <row r="1" spans="1:5">
      <c r="A1" s="4"/>
      <c r="B1" s="5" t="s">
        <v>0</v>
      </c>
      <c r="C1" s="6" t="s">
        <v>1</v>
      </c>
      <c r="D1" s="7" t="s">
        <v>2</v>
      </c>
      <c r="E1" s="5" t="s">
        <v>3</v>
      </c>
    </row>
    <row r="2" spans="1:5">
      <c r="A2" s="4">
        <v>45736</v>
      </c>
      <c r="B2" s="8">
        <v>3038.15</v>
      </c>
      <c r="C2" s="8"/>
      <c r="D2" s="5"/>
      <c r="E2" s="5"/>
    </row>
    <row r="3" spans="1:5">
      <c r="A3" s="4">
        <v>45737</v>
      </c>
      <c r="B3" s="8">
        <v>3013.7</v>
      </c>
      <c r="C3" s="8"/>
      <c r="D3" s="5"/>
      <c r="E3" s="5"/>
    </row>
    <row r="4" spans="1:5">
      <c r="A4" s="4">
        <v>45740</v>
      </c>
      <c r="B4" s="8">
        <v>3007.75</v>
      </c>
      <c r="C4" s="8"/>
      <c r="D4" s="5"/>
      <c r="E4" s="5"/>
    </row>
    <row r="5" spans="1:5">
      <c r="A5" s="4">
        <v>45741</v>
      </c>
      <c r="B5" s="8">
        <v>3025.2</v>
      </c>
      <c r="C5" s="8"/>
      <c r="D5" s="5"/>
      <c r="E5" s="5"/>
    </row>
    <row r="6" spans="1:5">
      <c r="A6" s="4">
        <v>45742</v>
      </c>
      <c r="B6" s="8">
        <v>3013.25</v>
      </c>
      <c r="C6" s="8"/>
      <c r="D6" s="5"/>
      <c r="E6" s="5"/>
    </row>
    <row r="7" spans="1:5">
      <c r="A7" s="4">
        <v>45743</v>
      </c>
      <c r="B7" s="8">
        <v>3056.55</v>
      </c>
      <c r="C7" s="8"/>
      <c r="D7" s="5"/>
      <c r="E7" s="5"/>
    </row>
    <row r="8" spans="1:5">
      <c r="A8" s="4">
        <v>45744</v>
      </c>
      <c r="B8" s="8">
        <v>3071.6</v>
      </c>
      <c r="C8" s="8"/>
      <c r="D8" s="5"/>
      <c r="E8" s="5"/>
    </row>
    <row r="9" spans="1:5">
      <c r="A9" s="4">
        <v>45747</v>
      </c>
      <c r="B9" s="8">
        <v>3115.1</v>
      </c>
      <c r="C9" s="8"/>
      <c r="D9" s="5"/>
      <c r="E9" s="5"/>
    </row>
    <row r="10" spans="1:5">
      <c r="A10" s="4">
        <v>45748</v>
      </c>
      <c r="B10" s="8">
        <v>3133.7</v>
      </c>
      <c r="C10" s="8"/>
      <c r="D10" s="5"/>
      <c r="E10" s="5"/>
    </row>
    <row r="11" spans="1:5">
      <c r="A11" s="4">
        <v>45749</v>
      </c>
      <c r="B11" s="8">
        <v>3119.75</v>
      </c>
      <c r="C11" s="8">
        <v>3131.52234144638</v>
      </c>
      <c r="D11" s="7">
        <f>B11-C11</f>
        <v>-11.772341446378</v>
      </c>
      <c r="E11" s="9">
        <f>D11/B11</f>
        <v>-0.00377348872389712</v>
      </c>
    </row>
    <row r="12" spans="1:5">
      <c r="A12" s="4">
        <v>45750</v>
      </c>
      <c r="B12" s="8">
        <v>3118.1</v>
      </c>
      <c r="C12" s="8">
        <v>3132.18312064351</v>
      </c>
      <c r="D12" s="7">
        <f>B12-C12</f>
        <v>-14.0831206435091</v>
      </c>
      <c r="E12" s="9">
        <f>D12/B12</f>
        <v>-0.00451657119512175</v>
      </c>
    </row>
    <row r="13" spans="1:5">
      <c r="A13" s="4">
        <v>45751</v>
      </c>
      <c r="B13" s="8">
        <v>3054.5</v>
      </c>
      <c r="C13" s="8">
        <v>3132.85826450191</v>
      </c>
      <c r="D13" s="7">
        <f>B13-C13</f>
        <v>-78.3582645019142</v>
      </c>
      <c r="E13" s="9">
        <f>D13/B13</f>
        <v>-0.0256533850063559</v>
      </c>
    </row>
    <row r="14" spans="1:5">
      <c r="A14" s="4">
        <v>45754</v>
      </c>
      <c r="B14" s="8">
        <v>3014.75</v>
      </c>
      <c r="C14" s="8">
        <v>3130.2889281348</v>
      </c>
      <c r="D14" s="7">
        <f>B14-C14</f>
        <v>-115.538928134797</v>
      </c>
      <c r="E14" s="9">
        <f>D14/B14</f>
        <v>-0.0383245470220738</v>
      </c>
    </row>
    <row r="15" spans="1:5">
      <c r="A15" s="4">
        <v>45755</v>
      </c>
      <c r="B15" s="8">
        <v>3015.4</v>
      </c>
      <c r="C15" s="8">
        <v>3129.78515782976</v>
      </c>
      <c r="D15" s="7">
        <f t="shared" ref="D15:D25" si="0">B15-C15</f>
        <v>-114.385157829755</v>
      </c>
      <c r="E15" s="9">
        <f t="shared" ref="E15:E25" si="1">D15/B15</f>
        <v>-0.0379336598228278</v>
      </c>
    </row>
    <row r="16" spans="1:5">
      <c r="A16" s="4">
        <v>45756</v>
      </c>
      <c r="B16" s="8">
        <v>3075.5</v>
      </c>
      <c r="C16" s="8">
        <v>3128.62150705725</v>
      </c>
      <c r="D16" s="7">
        <f t="shared" si="0"/>
        <v>-53.121507057248</v>
      </c>
      <c r="E16" s="9">
        <f t="shared" si="1"/>
        <v>-0.0172724783148262</v>
      </c>
    </row>
    <row r="17" spans="1:5">
      <c r="A17" s="4">
        <v>45757</v>
      </c>
      <c r="B17" s="8">
        <v>3143.15</v>
      </c>
      <c r="C17" s="8">
        <v>3129.51554157326</v>
      </c>
      <c r="D17" s="7">
        <f t="shared" si="0"/>
        <v>13.6344584267363</v>
      </c>
      <c r="E17" s="9">
        <f t="shared" si="1"/>
        <v>0.00433783256501798</v>
      </c>
    </row>
    <row r="18" spans="1:5">
      <c r="A18" s="4">
        <v>45758</v>
      </c>
      <c r="B18" s="8">
        <v>3230.5</v>
      </c>
      <c r="C18" s="8">
        <v>3128.87494336403</v>
      </c>
      <c r="D18" s="7">
        <f t="shared" si="0"/>
        <v>101.62505663597</v>
      </c>
      <c r="E18" s="9">
        <f t="shared" si="1"/>
        <v>0.0314579961727194</v>
      </c>
    </row>
    <row r="19" spans="1:5">
      <c r="A19" s="4">
        <v>45761</v>
      </c>
      <c r="B19" s="8">
        <v>3204.2</v>
      </c>
      <c r="C19" s="8">
        <v>3129.05244173367</v>
      </c>
      <c r="D19" s="7">
        <f t="shared" si="0"/>
        <v>75.1475582663256</v>
      </c>
      <c r="E19" s="9">
        <f t="shared" si="1"/>
        <v>0.023452830118696</v>
      </c>
    </row>
    <row r="20" spans="1:5">
      <c r="A20" s="4">
        <v>45762</v>
      </c>
      <c r="B20" s="8">
        <v>3219.6</v>
      </c>
      <c r="C20" s="8">
        <v>3128.69199442409</v>
      </c>
      <c r="D20" s="7">
        <f t="shared" si="0"/>
        <v>90.9080055759059</v>
      </c>
      <c r="E20" s="9">
        <f t="shared" si="1"/>
        <v>0.0282358074220108</v>
      </c>
    </row>
    <row r="21" spans="1:5">
      <c r="A21" s="4">
        <v>45763</v>
      </c>
      <c r="B21" s="8">
        <v>3322.9</v>
      </c>
      <c r="C21" s="8">
        <v>3131.35025674148</v>
      </c>
      <c r="D21" s="7">
        <f t="shared" si="0"/>
        <v>191.549743258521</v>
      </c>
      <c r="E21" s="9">
        <f t="shared" si="1"/>
        <v>0.0576453529322342</v>
      </c>
    </row>
    <row r="22" spans="1:5">
      <c r="A22" s="4">
        <v>45764</v>
      </c>
      <c r="B22" s="8">
        <v>3305.65</v>
      </c>
      <c r="C22" s="8">
        <v>3131.65557349487</v>
      </c>
      <c r="D22" s="7">
        <f t="shared" si="0"/>
        <v>173.994426505126</v>
      </c>
      <c r="E22" s="9">
        <f t="shared" si="1"/>
        <v>0.0526354654924527</v>
      </c>
    </row>
    <row r="23" spans="1:5">
      <c r="A23" s="4">
        <v>45769</v>
      </c>
      <c r="B23" s="8">
        <v>3433.55</v>
      </c>
      <c r="C23" s="8">
        <v>3132.78205235535</v>
      </c>
      <c r="D23" s="7">
        <f t="shared" si="0"/>
        <v>300.767947644651</v>
      </c>
      <c r="E23" s="9">
        <f t="shared" si="1"/>
        <v>0.0875967868953855</v>
      </c>
    </row>
    <row r="24" spans="1:5">
      <c r="A24" s="4">
        <v>45770</v>
      </c>
      <c r="B24" s="8">
        <v>3262.95</v>
      </c>
      <c r="C24" s="8">
        <v>3133.00258453364</v>
      </c>
      <c r="D24" s="7">
        <f t="shared" si="0"/>
        <v>129.947415466355</v>
      </c>
      <c r="E24" s="9">
        <f t="shared" si="1"/>
        <v>0.0398251323086026</v>
      </c>
    </row>
    <row r="25" spans="1:5">
      <c r="A25" s="4">
        <v>45771</v>
      </c>
      <c r="B25" s="8">
        <v>3314.75</v>
      </c>
      <c r="C25" s="8">
        <v>3133.02376165348</v>
      </c>
      <c r="D25" s="7">
        <f t="shared" si="0"/>
        <v>181.726238346523</v>
      </c>
      <c r="E25" s="9">
        <f t="shared" si="1"/>
        <v>0.0548235125866274</v>
      </c>
    </row>
    <row r="26" spans="3:3">
      <c r="C26" s="10"/>
    </row>
    <row r="27" spans="3:3">
      <c r="C27" s="10"/>
    </row>
    <row r="28" spans="3:3">
      <c r="C28" s="10"/>
    </row>
    <row r="29" spans="3:3">
      <c r="C29" s="10"/>
    </row>
    <row r="30" spans="3:3">
      <c r="C30" s="10"/>
    </row>
    <row r="31" spans="3:3">
      <c r="C31" s="10"/>
    </row>
    <row r="32" spans="3:3">
      <c r="C32" s="10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上证测试集 原始数据</vt:lpstr>
      <vt:lpstr>黄金测试集 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王翌阳</cp:lastModifiedBy>
  <dcterms:created xsi:type="dcterms:W3CDTF">2023-05-12T11:15:00Z</dcterms:created>
  <dcterms:modified xsi:type="dcterms:W3CDTF">2025-05-09T15:49:11Z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31DF2C034F9C4385B922E0F821D16E0C_13</vt:lpwstr>
  </property>
  <property fmtid="{D5CDD505-2E9C-101B-9397-08002B2CF9AE}" pid="4" name="EM_Doc_Temp_ID">
    <vt:lpwstr>E3CA1C8E-38B3-4411-B84F-90767D6519CD</vt:lpwstr>
  </property>
</Properties>
</file>